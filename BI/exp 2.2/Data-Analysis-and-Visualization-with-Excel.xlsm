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 04\Desktop\149-0032_Abu Sina_data analysis and visualization with excel\"/>
    </mc:Choice>
  </mc:AlternateContent>
  <xr:revisionPtr revIDLastSave="0" documentId="13_ncr:1_{3A76125F-9EC4-43DC-BCCA-8A2A4E39A8F6}" xr6:coauthVersionLast="47" xr6:coauthVersionMax="47" xr10:uidLastSave="{00000000-0000-0000-0000-000000000000}"/>
  <bookViews>
    <workbookView xWindow="-120" yWindow="-120" windowWidth="29040" windowHeight="15840" xr2:uid="{90632473-486D-434C-A131-9C0B67C2EB3E}"/>
  </bookViews>
  <sheets>
    <sheet name="Dataset" sheetId="1" r:id="rId1"/>
    <sheet name="SUM" sheetId="2" r:id="rId2"/>
    <sheet name="INDEX &amp; MATCH" sheetId="4" r:id="rId3"/>
    <sheet name="VLOOKUP &amp; Match" sheetId="3" r:id="rId4"/>
    <sheet name="SUM &amp; SUMIFS" sheetId="5" r:id="rId5"/>
    <sheet name="MAX, INDEX &amp; MATCH" sheetId="6" r:id="rId6"/>
    <sheet name="Conditional Formatting" sheetId="7" r:id="rId7"/>
    <sheet name="Pivot Table" sheetId="8" r:id="rId8"/>
    <sheet name="Sort" sheetId="9" r:id="rId9"/>
    <sheet name="Filter" sheetId="10" r:id="rId10"/>
    <sheet name="What-If" sheetId="11" r:id="rId11"/>
    <sheet name="Data Validation" sheetId="13" r:id="rId12"/>
    <sheet name="Table" sheetId="12" r:id="rId13"/>
    <sheet name="Analyze Data" sheetId="14" r:id="rId14"/>
    <sheet name="Descriptive Statistics" sheetId="15" r:id="rId15"/>
    <sheet name="Anova" sheetId="17" r:id="rId16"/>
    <sheet name="Column Chart" sheetId="18" r:id="rId17"/>
    <sheet name="Bar Chart" sheetId="19" r:id="rId18"/>
    <sheet name="Line Chart" sheetId="20" r:id="rId19"/>
    <sheet name="Pie Chart" sheetId="21" r:id="rId20"/>
    <sheet name="Doughnut Chart " sheetId="22" r:id="rId21"/>
    <sheet name="Waterfall Chart" sheetId="23" r:id="rId22"/>
    <sheet name="Animated Chart" sheetId="24" r:id="rId23"/>
    <sheet name="Practice" sheetId="25" r:id="rId24"/>
  </sheets>
  <definedNames>
    <definedName name="_xlnm._FilterDatabase" localSheetId="9" hidden="1">Filter!$B$4:$E$16</definedName>
    <definedName name="_xlchart.v1.0" hidden="1">'Waterfall Chart'!$B$5:$B$16</definedName>
    <definedName name="_xlchart.v1.1" hidden="1">'Waterfall Chart'!$E$5:$E$16</definedName>
  </definedNames>
  <calcPr calcId="191029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2" l="1"/>
  <c r="H5" i="13"/>
  <c r="H7" i="11"/>
  <c r="H5" i="11"/>
  <c r="H6" i="6"/>
  <c r="G6" i="6"/>
  <c r="H5" i="5"/>
  <c r="H5" i="4"/>
  <c r="H6" i="3"/>
  <c r="D17" i="2"/>
  <c r="E17" i="2"/>
  <c r="C17" i="2"/>
</calcChain>
</file>

<file path=xl/sharedStrings.xml><?xml version="1.0" encoding="utf-8"?>
<sst xmlns="http://schemas.openxmlformats.org/spreadsheetml/2006/main" count="483" uniqueCount="83">
  <si>
    <t>Month</t>
  </si>
  <si>
    <t>Mobile</t>
  </si>
  <si>
    <t>Laptop</t>
  </si>
  <si>
    <t>Television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</si>
  <si>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</si>
  <si>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</si>
  <si>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</si>
  <si>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</si>
  <si>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</si>
  <si>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</si>
  <si>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</si>
  <si>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</si>
  <si>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</si>
  <si>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</si>
  <si>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</si>
  <si>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</si>
  <si>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 Quantity of Products</t>
  </si>
  <si>
    <t>Total</t>
  </si>
  <si>
    <t>Product</t>
  </si>
  <si>
    <t>Quantity</t>
  </si>
  <si>
    <t>Using SUM Function</t>
  </si>
  <si>
    <t>Using VLOOKUP &amp; MATCH Functions</t>
  </si>
  <si>
    <t>Using INDEX &amp; MATCH Functions</t>
  </si>
  <si>
    <t>Number of Products</t>
  </si>
  <si>
    <t>Combining SUM &amp; SUMIFS Functions</t>
  </si>
  <si>
    <t>Maximum Amount Sold</t>
  </si>
  <si>
    <t>Applying MAX, INDEX &amp; MATCH Functions</t>
  </si>
  <si>
    <t>Applying Conditional Formatting</t>
  </si>
  <si>
    <t>Row Labels</t>
  </si>
  <si>
    <t>Grand Total</t>
  </si>
  <si>
    <t>Sum of Laptop</t>
  </si>
  <si>
    <t>Sum of Mobile</t>
  </si>
  <si>
    <t>Sum of Television</t>
  </si>
  <si>
    <t>Using Pivot Table</t>
  </si>
  <si>
    <t>Sorting a Product</t>
  </si>
  <si>
    <t>Filtering Data</t>
  </si>
  <si>
    <t>Total Units Sold</t>
  </si>
  <si>
    <t>Unit Price</t>
  </si>
  <si>
    <t>Revenue</t>
  </si>
  <si>
    <t>Using What-If Analysis Feature</t>
  </si>
  <si>
    <t>Applying Data Validation</t>
  </si>
  <si>
    <t>Using Excel Table</t>
  </si>
  <si>
    <t>Using Analyze Data Feature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</si>
  <si>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</si>
  <si>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</si>
  <si>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</si>
  <si>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</si>
  <si>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</si>
  <si>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</si>
  <si>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</si>
  <si>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</si>
  <si>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</si>
  <si>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</si>
  <si>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</si>
  <si>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</si>
  <si>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</si>
  <si>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Descriptive Statistics for Laptop</t>
  </si>
  <si>
    <t>Analyzing Descriptive Statistics</t>
  </si>
  <si>
    <t>Analyzing Anova: Single Factor</t>
  </si>
  <si>
    <t>Anova: Single Factor</t>
  </si>
  <si>
    <t>SUMMARY</t>
  </si>
  <si>
    <t>Groups</t>
  </si>
  <si>
    <t>Average</t>
  </si>
  <si>
    <t>Variance</t>
  </si>
  <si>
    <t>ANOVA</t>
  </si>
  <si>
    <t>Source of Variation</t>
  </si>
  <si>
    <t>SS</t>
  </si>
  <si>
    <t>df</t>
  </si>
  <si>
    <t>MS</t>
  </si>
  <si>
    <t>F</t>
  </si>
  <si>
    <t>P-value</t>
  </si>
  <si>
    <t>F crit</t>
  </si>
  <si>
    <t>Between Groups</t>
  </si>
  <si>
    <t>Within Groups</t>
  </si>
  <si>
    <t>Anova: Single Factor for All Products</t>
  </si>
  <si>
    <t>Excel Column Chart</t>
  </si>
  <si>
    <t>Excel Bar Chart</t>
  </si>
  <si>
    <t>Excel Line Chart</t>
  </si>
  <si>
    <t>Excel Pie Chart</t>
  </si>
  <si>
    <t>Excel Doughnut Chart</t>
  </si>
  <si>
    <t>Excel Waterfall Chart</t>
  </si>
  <si>
    <t>Animated Column Chart</t>
  </si>
  <si>
    <t>Try Yourself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</si>
</sst>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0" fillId="0" borderId="2" xfId="0" applyBorder="1" applyAlignment="1">
      <alignment horizontal="right" vertical="center"/>
    </xf>
    <xf numFmtId="0" fontId="0" fillId="0" borderId="0" xfId="0" pivotButton="1"/>
    <xf numFmtId="0" fontId="0" fillId="0" borderId="0" xfId="0" applyAlignment="1">
      <alignment horizontal="left"/>
    </xf>
    <xf numFmtId="0" fontId="3" fillId="2" borderId="5" xfId="0" applyFont="1" applyFill="1" applyBorder="1" applyAlignment="1">
      <alignment horizontal="center" vertical="center"/>
    </xf>
    <xf numFmtId="44" fontId="0" fillId="0" borderId="2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3" xfId="0" applyBorder="1" applyAlignment="1">
      <alignment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/>
    <xf numFmtId="0" fontId="4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Continuous"/>
    </xf>
    <xf numFmtId="0" fontId="1" fillId="0" borderId="1" xfId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8"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Sales Quantity of 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Chart'!$C$4</c:f>
              <c:strCache>
                <c:ptCount val="1"/>
                <c:pt idx="0">
                  <c:v>Mobile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 Chart'!$B$5:$B$16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'Column Chart'!$C$5:$C$16</c:f>
              <c:numCache>
                <c:formatCode>General</c:formatCode>
                <c:ptCount val="12"/>
                <c:pt idx="0">
                  <c:v>65</c:v>
                </c:pt>
                <c:pt idx="1">
                  <c:v>106</c:v>
                </c:pt>
                <c:pt idx="2">
                  <c:v>80</c:v>
                </c:pt>
                <c:pt idx="3">
                  <c:v>73</c:v>
                </c:pt>
                <c:pt idx="4">
                  <c:v>87</c:v>
                </c:pt>
                <c:pt idx="5">
                  <c:v>125</c:v>
                </c:pt>
                <c:pt idx="6">
                  <c:v>57</c:v>
                </c:pt>
                <c:pt idx="7">
                  <c:v>60</c:v>
                </c:pt>
                <c:pt idx="8">
                  <c:v>63</c:v>
                </c:pt>
                <c:pt idx="9">
                  <c:v>82</c:v>
                </c:pt>
                <c:pt idx="10">
                  <c:v>79</c:v>
                </c:pt>
                <c:pt idx="1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9-47A7-8A17-00F60C6ADB46}"/>
            </c:ext>
          </c:extLst>
        </c:ser>
        <c:ser>
          <c:idx val="1"/>
          <c:order val="1"/>
          <c:tx>
            <c:strRef>
              <c:f>'Column Chart'!$D$4</c:f>
              <c:strCache>
                <c:ptCount val="1"/>
                <c:pt idx="0">
                  <c:v>Laptop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 Chart'!$B$5:$B$16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'Column Chart'!$D$5:$D$16</c:f>
              <c:numCache>
                <c:formatCode>General</c:formatCode>
                <c:ptCount val="12"/>
                <c:pt idx="0">
                  <c:v>320</c:v>
                </c:pt>
                <c:pt idx="1">
                  <c:v>342</c:v>
                </c:pt>
                <c:pt idx="2">
                  <c:v>290</c:v>
                </c:pt>
                <c:pt idx="3">
                  <c:v>239</c:v>
                </c:pt>
                <c:pt idx="4">
                  <c:v>257</c:v>
                </c:pt>
                <c:pt idx="5">
                  <c:v>272</c:v>
                </c:pt>
                <c:pt idx="6">
                  <c:v>365</c:v>
                </c:pt>
                <c:pt idx="7">
                  <c:v>368</c:v>
                </c:pt>
                <c:pt idx="8">
                  <c:v>270</c:v>
                </c:pt>
                <c:pt idx="9">
                  <c:v>325</c:v>
                </c:pt>
                <c:pt idx="10">
                  <c:v>379</c:v>
                </c:pt>
                <c:pt idx="11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C9-47A7-8A17-00F60C6ADB46}"/>
            </c:ext>
          </c:extLst>
        </c:ser>
        <c:ser>
          <c:idx val="2"/>
          <c:order val="2"/>
          <c:tx>
            <c:strRef>
              <c:f>'Column Chart'!$E$4</c:f>
              <c:strCache>
                <c:ptCount val="1"/>
                <c:pt idx="0">
                  <c:v>Television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 Chart'!$B$5:$B$16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'Column Chart'!$E$5:$E$16</c:f>
              <c:numCache>
                <c:formatCode>General</c:formatCode>
                <c:ptCount val="12"/>
                <c:pt idx="0">
                  <c:v>125</c:v>
                </c:pt>
                <c:pt idx="1">
                  <c:v>120</c:v>
                </c:pt>
                <c:pt idx="2">
                  <c:v>85</c:v>
                </c:pt>
                <c:pt idx="3">
                  <c:v>150</c:v>
                </c:pt>
                <c:pt idx="4">
                  <c:v>158</c:v>
                </c:pt>
                <c:pt idx="5">
                  <c:v>147</c:v>
                </c:pt>
                <c:pt idx="6">
                  <c:v>180</c:v>
                </c:pt>
                <c:pt idx="7">
                  <c:v>161</c:v>
                </c:pt>
                <c:pt idx="8">
                  <c:v>132</c:v>
                </c:pt>
                <c:pt idx="9">
                  <c:v>123</c:v>
                </c:pt>
                <c:pt idx="10">
                  <c:v>94</c:v>
                </c:pt>
                <c:pt idx="1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C9-47A7-8A17-00F60C6AD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723359"/>
        <c:axId val="365790495"/>
      </c:barChart>
      <c:catAx>
        <c:axId val="202723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90495"/>
        <c:crosses val="autoZero"/>
        <c:auto val="1"/>
        <c:lblAlgn val="ctr"/>
        <c:lblOffset val="100"/>
        <c:noMultiLvlLbl val="0"/>
      </c:catAx>
      <c:valAx>
        <c:axId val="36579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23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Sales Quantity of Products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'Bar Chart'!$C$4</c:f>
              <c:strCache>
                <c:ptCount val="1"/>
                <c:pt idx="0">
                  <c:v>Mobile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'Bar Chart'!$B$5:$B$16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'Bar Chart'!$C$5:$C$16</c:f>
              <c:numCache>
                <c:formatCode>General</c:formatCode>
                <c:ptCount val="12"/>
                <c:pt idx="0">
                  <c:v>65</c:v>
                </c:pt>
                <c:pt idx="1">
                  <c:v>106</c:v>
                </c:pt>
                <c:pt idx="2">
                  <c:v>80</c:v>
                </c:pt>
                <c:pt idx="3">
                  <c:v>73</c:v>
                </c:pt>
                <c:pt idx="4">
                  <c:v>87</c:v>
                </c:pt>
                <c:pt idx="5">
                  <c:v>125</c:v>
                </c:pt>
                <c:pt idx="6">
                  <c:v>57</c:v>
                </c:pt>
                <c:pt idx="7">
                  <c:v>60</c:v>
                </c:pt>
                <c:pt idx="8">
                  <c:v>63</c:v>
                </c:pt>
                <c:pt idx="9">
                  <c:v>82</c:v>
                </c:pt>
                <c:pt idx="10">
                  <c:v>79</c:v>
                </c:pt>
                <c:pt idx="1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A-4FFA-A365-6277903A6A34}"/>
            </c:ext>
          </c:extLst>
        </c:ser>
        <c:ser>
          <c:idx val="1"/>
          <c:order val="1"/>
          <c:tx>
            <c:strRef>
              <c:f>'Bar Chart'!$D$4</c:f>
              <c:strCache>
                <c:ptCount val="1"/>
                <c:pt idx="0">
                  <c:v>Laptop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'Bar Chart'!$B$5:$B$16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'Bar Chart'!$D$5:$D$16</c:f>
              <c:numCache>
                <c:formatCode>General</c:formatCode>
                <c:ptCount val="12"/>
                <c:pt idx="0">
                  <c:v>320</c:v>
                </c:pt>
                <c:pt idx="1">
                  <c:v>342</c:v>
                </c:pt>
                <c:pt idx="2">
                  <c:v>290</c:v>
                </c:pt>
                <c:pt idx="3">
                  <c:v>239</c:v>
                </c:pt>
                <c:pt idx="4">
                  <c:v>257</c:v>
                </c:pt>
                <c:pt idx="5">
                  <c:v>272</c:v>
                </c:pt>
                <c:pt idx="6">
                  <c:v>365</c:v>
                </c:pt>
                <c:pt idx="7">
                  <c:v>368</c:v>
                </c:pt>
                <c:pt idx="8">
                  <c:v>270</c:v>
                </c:pt>
                <c:pt idx="9">
                  <c:v>325</c:v>
                </c:pt>
                <c:pt idx="10">
                  <c:v>379</c:v>
                </c:pt>
                <c:pt idx="11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EA-4FFA-A365-6277903A6A34}"/>
            </c:ext>
          </c:extLst>
        </c:ser>
        <c:ser>
          <c:idx val="2"/>
          <c:order val="2"/>
          <c:tx>
            <c:strRef>
              <c:f>'Bar Chart'!$E$4</c:f>
              <c:strCache>
                <c:ptCount val="1"/>
                <c:pt idx="0">
                  <c:v>Television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'Bar Chart'!$B$5:$B$16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'Bar Chart'!$E$5:$E$16</c:f>
              <c:numCache>
                <c:formatCode>General</c:formatCode>
                <c:ptCount val="12"/>
                <c:pt idx="0">
                  <c:v>125</c:v>
                </c:pt>
                <c:pt idx="1">
                  <c:v>120</c:v>
                </c:pt>
                <c:pt idx="2">
                  <c:v>85</c:v>
                </c:pt>
                <c:pt idx="3">
                  <c:v>150</c:v>
                </c:pt>
                <c:pt idx="4">
                  <c:v>158</c:v>
                </c:pt>
                <c:pt idx="5">
                  <c:v>147</c:v>
                </c:pt>
                <c:pt idx="6">
                  <c:v>180</c:v>
                </c:pt>
                <c:pt idx="7">
                  <c:v>161</c:v>
                </c:pt>
                <c:pt idx="8">
                  <c:v>132</c:v>
                </c:pt>
                <c:pt idx="9">
                  <c:v>123</c:v>
                </c:pt>
                <c:pt idx="10">
                  <c:v>94</c:v>
                </c:pt>
                <c:pt idx="1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EA-4FFA-A365-6277903A6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8449199"/>
        <c:axId val="198453999"/>
      </c:barChart>
      <c:catAx>
        <c:axId val="1984491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53999"/>
        <c:crosses val="autoZero"/>
        <c:auto val="1"/>
        <c:lblAlgn val="ctr"/>
        <c:lblOffset val="100"/>
        <c:noMultiLvlLbl val="0"/>
      </c:catAx>
      <c:valAx>
        <c:axId val="198453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49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Sales Quantity of Products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Chart'!$C$4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Chart'!$B$5:$B$16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'Line Chart'!$C$5:$C$16</c:f>
              <c:numCache>
                <c:formatCode>General</c:formatCode>
                <c:ptCount val="12"/>
                <c:pt idx="0">
                  <c:v>65</c:v>
                </c:pt>
                <c:pt idx="1">
                  <c:v>106</c:v>
                </c:pt>
                <c:pt idx="2">
                  <c:v>80</c:v>
                </c:pt>
                <c:pt idx="3">
                  <c:v>73</c:v>
                </c:pt>
                <c:pt idx="4">
                  <c:v>87</c:v>
                </c:pt>
                <c:pt idx="5">
                  <c:v>125</c:v>
                </c:pt>
                <c:pt idx="6">
                  <c:v>57</c:v>
                </c:pt>
                <c:pt idx="7">
                  <c:v>60</c:v>
                </c:pt>
                <c:pt idx="8">
                  <c:v>63</c:v>
                </c:pt>
                <c:pt idx="9">
                  <c:v>82</c:v>
                </c:pt>
                <c:pt idx="10">
                  <c:v>79</c:v>
                </c:pt>
                <c:pt idx="11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C-4142-8F39-A82471F274CB}"/>
            </c:ext>
          </c:extLst>
        </c:ser>
        <c:ser>
          <c:idx val="1"/>
          <c:order val="1"/>
          <c:tx>
            <c:strRef>
              <c:f>'Line Chart'!$D$4</c:f>
              <c:strCache>
                <c:ptCount val="1"/>
                <c:pt idx="0">
                  <c:v>Laptop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'Line Chart'!$B$5:$B$16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'Line Chart'!$D$5:$D$16</c:f>
              <c:numCache>
                <c:formatCode>General</c:formatCode>
                <c:ptCount val="12"/>
                <c:pt idx="0">
                  <c:v>320</c:v>
                </c:pt>
                <c:pt idx="1">
                  <c:v>342</c:v>
                </c:pt>
                <c:pt idx="2">
                  <c:v>290</c:v>
                </c:pt>
                <c:pt idx="3">
                  <c:v>239</c:v>
                </c:pt>
                <c:pt idx="4">
                  <c:v>257</c:v>
                </c:pt>
                <c:pt idx="5">
                  <c:v>272</c:v>
                </c:pt>
                <c:pt idx="6">
                  <c:v>365</c:v>
                </c:pt>
                <c:pt idx="7">
                  <c:v>368</c:v>
                </c:pt>
                <c:pt idx="8">
                  <c:v>270</c:v>
                </c:pt>
                <c:pt idx="9">
                  <c:v>325</c:v>
                </c:pt>
                <c:pt idx="10">
                  <c:v>379</c:v>
                </c:pt>
                <c:pt idx="11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AC-4142-8F39-A82471F274CB}"/>
            </c:ext>
          </c:extLst>
        </c:ser>
        <c:ser>
          <c:idx val="2"/>
          <c:order val="2"/>
          <c:tx>
            <c:strRef>
              <c:f>'Line Chart'!$E$4</c:f>
              <c:strCache>
                <c:ptCount val="1"/>
                <c:pt idx="0">
                  <c:v>Television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'Line Chart'!$B$5:$B$16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'Line Chart'!$E$5:$E$16</c:f>
              <c:numCache>
                <c:formatCode>General</c:formatCode>
                <c:ptCount val="12"/>
                <c:pt idx="0">
                  <c:v>125</c:v>
                </c:pt>
                <c:pt idx="1">
                  <c:v>120</c:v>
                </c:pt>
                <c:pt idx="2">
                  <c:v>85</c:v>
                </c:pt>
                <c:pt idx="3">
                  <c:v>150</c:v>
                </c:pt>
                <c:pt idx="4">
                  <c:v>158</c:v>
                </c:pt>
                <c:pt idx="5">
                  <c:v>147</c:v>
                </c:pt>
                <c:pt idx="6">
                  <c:v>180</c:v>
                </c:pt>
                <c:pt idx="7">
                  <c:v>161</c:v>
                </c:pt>
                <c:pt idx="8">
                  <c:v>132</c:v>
                </c:pt>
                <c:pt idx="9">
                  <c:v>123</c:v>
                </c:pt>
                <c:pt idx="10">
                  <c:v>94</c:v>
                </c:pt>
                <c:pt idx="11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AC-4142-8F39-A82471F2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713231"/>
        <c:axId val="202713711"/>
      </c:lineChart>
      <c:catAx>
        <c:axId val="202713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13711"/>
        <c:crosses val="autoZero"/>
        <c:auto val="1"/>
        <c:lblAlgn val="ctr"/>
        <c:lblOffset val="100"/>
        <c:noMultiLvlLbl val="0"/>
      </c:catAx>
      <c:valAx>
        <c:axId val="20271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13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Sales</a:t>
            </a:r>
            <a:r>
              <a:rPr lang="en-US" b="1" baseline="0"/>
              <a:t> Quantity of Mobile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'Pie Chart'!$C$4</c:f>
              <c:strCache>
                <c:ptCount val="1"/>
                <c:pt idx="0">
                  <c:v>Mobile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78-4182-8064-938AF763CA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78-4182-8064-938AF763CA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78-4182-8064-938AF763CA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678-4182-8064-938AF763CA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678-4182-8064-938AF763CA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678-4182-8064-938AF763CA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678-4182-8064-938AF763CAA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678-4182-8064-938AF763CAA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678-4182-8064-938AF763CAA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678-4182-8064-938AF763CAA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678-4182-8064-938AF763CAA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678-4182-8064-938AF763CAA2}"/>
              </c:ext>
            </c:extLst>
          </c:dPt>
          <c:cat>
            <c:strRef>
              <c:f>'Pie Chart'!$B$5:$B$16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'Pie Chart'!$C$5:$C$16</c:f>
              <c:numCache>
                <c:formatCode>General</c:formatCode>
                <c:ptCount val="12"/>
                <c:pt idx="0">
                  <c:v>65</c:v>
                </c:pt>
                <c:pt idx="1">
                  <c:v>106</c:v>
                </c:pt>
                <c:pt idx="2">
                  <c:v>80</c:v>
                </c:pt>
                <c:pt idx="3">
                  <c:v>73</c:v>
                </c:pt>
                <c:pt idx="4">
                  <c:v>87</c:v>
                </c:pt>
                <c:pt idx="5">
                  <c:v>125</c:v>
                </c:pt>
                <c:pt idx="6">
                  <c:v>57</c:v>
                </c:pt>
                <c:pt idx="7">
                  <c:v>60</c:v>
                </c:pt>
                <c:pt idx="8">
                  <c:v>63</c:v>
                </c:pt>
                <c:pt idx="9">
                  <c:v>82</c:v>
                </c:pt>
                <c:pt idx="10">
                  <c:v>79</c:v>
                </c:pt>
                <c:pt idx="1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E9-43C5-9FD5-EB2499675FA5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678-4182-8064-938AF763CAA2}"/>
              </c:ext>
            </c:extLst>
          </c:dPt>
          <c:cat>
            <c:strRef>
              <c:f>'Pie Chart'!$B$2</c:f>
              <c:strCache>
                <c:ptCount val="1"/>
                <c:pt idx="0">
                  <c:v>Excel Pie Chart</c:v>
                </c:pt>
              </c:strCache>
            </c:strRef>
          </c:cat>
          <c:val>
            <c:numRef>
              <c:f>'Pie Chart'!$C$2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24E9-43C5-9FD5-EB2499675FA5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678-4182-8064-938AF763CAA2}"/>
              </c:ext>
            </c:extLst>
          </c:dPt>
          <c:cat>
            <c:strRef>
              <c:f>'Pie Chart'!$B$2</c:f>
              <c:strCache>
                <c:ptCount val="1"/>
                <c:pt idx="0">
                  <c:v>Excel Pie Chart</c:v>
                </c:pt>
              </c:strCache>
            </c:strRef>
          </c:cat>
          <c:val>
            <c:numRef>
              <c:f>'Pie Chart'!$D$2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24E9-43C5-9FD5-EB2499675FA5}"/>
            </c:ext>
          </c:extLst>
        </c:ser>
        <c:ser>
          <c:idx val="3"/>
          <c:order val="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678-4182-8064-938AF763CAA2}"/>
              </c:ext>
            </c:extLst>
          </c:dPt>
          <c:cat>
            <c:strRef>
              <c:f>'Pie Chart'!$B$2</c:f>
              <c:strCache>
                <c:ptCount val="1"/>
                <c:pt idx="0">
                  <c:v>Excel Pie Chart</c:v>
                </c:pt>
              </c:strCache>
            </c:strRef>
          </c:cat>
          <c:val>
            <c:numRef>
              <c:f>'Pie Chart'!$E$2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24E9-43C5-9FD5-EB2499675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Sales Quantity of Laptop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'Doughnut Chart '!$D$4</c:f>
              <c:strCache>
                <c:ptCount val="1"/>
                <c:pt idx="0">
                  <c:v>Laptop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DC-4BA0-97D6-C4C4F04F57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DC-4BA0-97D6-C4C4F04F571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BDC-4BA0-97D6-C4C4F04F571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BDC-4BA0-97D6-C4C4F04F571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BDC-4BA0-97D6-C4C4F04F571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BDC-4BA0-97D6-C4C4F04F571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BDC-4BA0-97D6-C4C4F04F571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BDC-4BA0-97D6-C4C4F04F571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BDC-4BA0-97D6-C4C4F04F571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BDC-4BA0-97D6-C4C4F04F571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BDC-4BA0-97D6-C4C4F04F571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BDC-4BA0-97D6-C4C4F04F5710}"/>
              </c:ext>
            </c:extLst>
          </c:dPt>
          <c:cat>
            <c:strRef>
              <c:f>'Doughnut Chart '!$B$5:$B$16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'Doughnut Chart '!$D$5:$D$16</c:f>
              <c:numCache>
                <c:formatCode>General</c:formatCode>
                <c:ptCount val="12"/>
                <c:pt idx="0">
                  <c:v>320</c:v>
                </c:pt>
                <c:pt idx="1">
                  <c:v>342</c:v>
                </c:pt>
                <c:pt idx="2">
                  <c:v>290</c:v>
                </c:pt>
                <c:pt idx="3">
                  <c:v>239</c:v>
                </c:pt>
                <c:pt idx="4">
                  <c:v>257</c:v>
                </c:pt>
                <c:pt idx="5">
                  <c:v>272</c:v>
                </c:pt>
                <c:pt idx="6">
                  <c:v>365</c:v>
                </c:pt>
                <c:pt idx="7">
                  <c:v>368</c:v>
                </c:pt>
                <c:pt idx="8">
                  <c:v>270</c:v>
                </c:pt>
                <c:pt idx="9">
                  <c:v>325</c:v>
                </c:pt>
                <c:pt idx="10">
                  <c:v>379</c:v>
                </c:pt>
                <c:pt idx="11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5-4151-9387-CD5487304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Television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Television</a:t>
          </a:r>
        </a:p>
      </cx:txPr>
    </cx:title>
    <cx:plotArea>
      <cx:plotAreaRegion>
        <cx:series layoutId="waterfall" uniqueId="{B830C55B-3C8F-4A32-A4DA-230620ED2449}"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endParaRPr lang="en-US" sz="900" b="1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3</xdr:row>
      <xdr:rowOff>11430</xdr:rowOff>
    </xdr:from>
    <xdr:to>
      <xdr:col>13</xdr:col>
      <xdr:colOff>106680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C7F19-0A56-0D6C-B354-B22E80A0AE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213360</xdr:colOff>
      <xdr:row>2</xdr:row>
      <xdr:rowOff>240030</xdr:rowOff>
    </xdr:from>
    <xdr:to>
      <xdr:col>13</xdr:col>
      <xdr:colOff>289560</xdr:colOff>
      <xdr:row>19</xdr:row>
      <xdr:rowOff>220980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F14BE5-B873-AE7A-F305-09EE502C11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251460</xdr:colOff>
      <xdr:row>2</xdr:row>
      <xdr:rowOff>209550</xdr:rowOff>
    </xdr:from>
    <xdr:to>
      <xdr:col>13</xdr:col>
      <xdr:colOff>144780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2A0181-BC55-265D-65AF-E9AC7879F7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3</xdr:row>
      <xdr:rowOff>19050</xdr:rowOff>
    </xdr:from>
    <xdr:to>
      <xdr:col>10</xdr:col>
      <xdr:colOff>571500</xdr:colOff>
      <xdr:row>16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9345267-AFB0-2475-7F5D-58AB7CE3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297180</xdr:colOff>
      <xdr:row>2</xdr:row>
      <xdr:rowOff>240030</xdr:rowOff>
    </xdr:from>
    <xdr:to>
      <xdr:col>13</xdr:col>
      <xdr:colOff>213360</xdr:colOff>
      <xdr:row>15</xdr:row>
      <xdr:rowOff>236220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40865B-E794-2A4A-B5FB-E77FB04E7C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3</xdr:row>
      <xdr:rowOff>11430</xdr:rowOff>
    </xdr:from>
    <xdr:to>
      <xdr:col>13</xdr:col>
      <xdr:colOff>289560</xdr:colOff>
      <xdr:row>16</xdr:row>
      <xdr:rowOff>22860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801D493-135A-BF03-4DD4-58F8117C3D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33775" y="754380"/>
              <a:ext cx="4861560" cy="3230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ib" refreshedDate="45127.454268518515" createdVersion="8" refreshedVersion="8" minRefreshableVersion="3" recordCount="12" xr:uid="{DA3A3586-2041-4E4C-A2AE-A8829923E6CC}">
  <cacheSource type="worksheet">
    <worksheetSource ref="B4:E16" sheet="Pivot Table"/>
  </cacheSource>
  <cacheFields count="4"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Mobile" numFmtId="0">
      <sharedItems containsSemiMixedTypes="0" containsString="0" containsNumber="1" containsInteger="1" minValue="57" maxValue="125"/>
    </cacheField>
    <cacheField name="Laptop" numFmtId="0">
      <sharedItems containsSemiMixedTypes="0" containsString="0" containsNumber="1" containsInteger="1" minValue="230" maxValue="379"/>
    </cacheField>
    <cacheField name="Television" numFmtId="0">
      <sharedItems containsSemiMixedTypes="0" containsString="0" containsNumber="1" containsInteger="1" minValue="85" maxValue="1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65"/>
    <n v="320"/>
    <n v="125"/>
  </r>
  <r>
    <x v="1"/>
    <n v="106"/>
    <n v="342"/>
    <n v="120"/>
  </r>
  <r>
    <x v="2"/>
    <n v="80"/>
    <n v="290"/>
    <n v="85"/>
  </r>
  <r>
    <x v="3"/>
    <n v="73"/>
    <n v="239"/>
    <n v="150"/>
  </r>
  <r>
    <x v="4"/>
    <n v="87"/>
    <n v="257"/>
    <n v="158"/>
  </r>
  <r>
    <x v="5"/>
    <n v="125"/>
    <n v="272"/>
    <n v="147"/>
  </r>
  <r>
    <x v="6"/>
    <n v="57"/>
    <n v="365"/>
    <n v="180"/>
  </r>
  <r>
    <x v="7"/>
    <n v="60"/>
    <n v="368"/>
    <n v="161"/>
  </r>
  <r>
    <x v="8"/>
    <n v="63"/>
    <n v="270"/>
    <n v="132"/>
  </r>
  <r>
    <x v="9"/>
    <n v="82"/>
    <n v="325"/>
    <n v="123"/>
  </r>
  <r>
    <x v="10"/>
    <n v="79"/>
    <n v="379"/>
    <n v="94"/>
  </r>
  <r>
    <x v="11"/>
    <n v="81"/>
    <n v="230"/>
    <n v="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8AE5B-6245-49B3-8F2F-1A80A812682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4:J17" firstHeaderRow="0" firstDataRow="1" firstDataCol="1"/>
  <pivotFields count="4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Mobile" fld="1" baseField="0" baseItem="0"/>
    <dataField name="Sum of Laptop" fld="2" baseField="0" baseItem="0"/>
    <dataField name="Sum of Television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F7F42B-A6B4-4169-B761-0B26E89F792D}" name="Table1" displayName="Table1" ref="B4:C17" totalsRowCount="1" headerRowDxfId="7" headerRowBorderDxfId="6" tableBorderDxfId="5" totalsRowBorderDxfId="4">
  <autoFilter ref="B4:C16" xr:uid="{03F7F42B-A6B4-4169-B761-0B26E89F792D}"/>
  <tableColumns count="2">
    <tableColumn id="1" xr3:uid="{0CBC2126-35E2-421B-A5A3-16DD618F6609}" name="Month" totalsRowLabel="Total" dataDxfId="3" totalsRowDxfId="2"/>
    <tableColumn id="2" xr3:uid="{BCC15C36-BCF4-47FF-A69C-AE25DB503391}" name="Television" totalsRowFunction="sum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3D9F0-E3F3-4A8F-9FE7-6E79C0A8994F}">
  <sheetPr codeName="Sheet1"/>
  <dimension ref="B2:E16"/>
  <sheetViews>
    <sheetView showGridLines="0" tabSelected="1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16384" width="8.85546875" style="1"/>
  </cols>
  <sheetData>
    <row r="2" spans="2:5" ht="19.899999999999999" customHeight="1" thickBot="1" x14ac:dyDescent="0.3">
      <c r="B2" s="19" t="s">
        <v>16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E2"/>
  </mergeCells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37A4E-5011-4240-B60A-3FFFD0AB6D30}">
  <sheetPr codeName="Sheet2"/>
  <dimension ref="B2:E17"/>
  <sheetViews>
    <sheetView showGridLines="0" workbookViewId="0">
      <selection activeCell="E17" sqref="E17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16384" width="8.85546875" style="1"/>
  </cols>
  <sheetData>
    <row r="2" spans="2:5" ht="19.899999999999999" customHeight="1" thickBot="1" x14ac:dyDescent="0.3">
      <c r="B2" s="19" t="s">
        <v>20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  <row r="17" spans="2:5" ht="19.899999999999999" customHeight="1" x14ac:dyDescent="0.25">
      <c r="B17" s="4" t="s">
        <v>17</v>
      </c>
      <c r="C17" s="3">
        <f>SUM(C5:C16)</f>
        <v>958</v>
      </c>
      <c r="D17" s="3">
        <f t="shared" ref="D17:E17" si="0">SUM(D5:D16)</f>
        <v>3657</v>
      </c>
      <c r="E17" s="3">
        <f t="shared" si="0"/>
        <v>1564</v>
      </c>
    </row>
  </sheetData>
  <mergeCells count="1">
    <mergeCell ref="B2:E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22965-9027-48C8-8FBA-D37111792DC9}">
  <sheetPr codeName="Sheet3"/>
  <dimension ref="B2:H16"/>
  <sheetViews>
    <sheetView showGridLines="0" workbookViewId="0">
      <selection activeCell="H5" sqref="H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3.7109375" style="1" customWidth="1"/>
    <col min="7" max="7" width="12" style="1" customWidth="1"/>
    <col min="8" max="8" width="10.5703125" style="1" customWidth="1"/>
    <col min="9" max="16384" width="8.85546875" style="1"/>
  </cols>
  <sheetData>
    <row r="2" spans="2:8" ht="19.899999999999999" customHeight="1" thickBot="1" x14ac:dyDescent="0.3">
      <c r="B2" s="19" t="s">
        <v>22</v>
      </c>
      <c r="C2" s="19"/>
      <c r="D2" s="19"/>
      <c r="E2" s="19"/>
      <c r="F2" s="19"/>
      <c r="G2" s="19"/>
      <c r="H2" s="19"/>
    </row>
    <row r="3" spans="2:8" ht="19.899999999999999" customHeight="1" thickTop="1" x14ac:dyDescent="0.25"/>
    <row r="4" spans="2:8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  <c r="G4" s="2" t="s">
        <v>0</v>
      </c>
      <c r="H4" s="2" t="s">
        <v>1</v>
      </c>
    </row>
    <row r="5" spans="2:8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  <c r="G5" s="5" t="s">
        <v>10</v>
      </c>
      <c r="H5" s="5">
        <f>INDEX(B5:E16,MATCH(G5,B5:B16,0),2)</f>
        <v>57</v>
      </c>
    </row>
    <row r="6" spans="2:8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8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8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8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8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8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8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8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8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8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8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H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43037-D709-4503-806E-353313060B4B}">
  <sheetPr codeName="Sheet4"/>
  <dimension ref="B2:H16"/>
  <sheetViews>
    <sheetView showGridLines="0" workbookViewId="0">
      <selection activeCell="H6" sqref="H6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3.7109375" style="1" customWidth="1"/>
    <col min="7" max="7" width="12.28515625" style="1" customWidth="1"/>
    <col min="8" max="8" width="10.28515625" style="1" customWidth="1"/>
    <col min="9" max="16384" width="8.85546875" style="1"/>
  </cols>
  <sheetData>
    <row r="2" spans="2:8" ht="19.899999999999999" customHeight="1" thickBot="1" x14ac:dyDescent="0.3">
      <c r="B2" s="19" t="s">
        <v>21</v>
      </c>
      <c r="C2" s="19"/>
      <c r="D2" s="19"/>
      <c r="E2" s="19"/>
      <c r="F2" s="19"/>
      <c r="G2" s="19"/>
      <c r="H2" s="19"/>
    </row>
    <row r="3" spans="2:8" ht="19.899999999999999" customHeight="1" thickTop="1" x14ac:dyDescent="0.25"/>
    <row r="4" spans="2:8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  <c r="G4" s="2" t="s">
        <v>0</v>
      </c>
      <c r="H4" s="5" t="s">
        <v>9</v>
      </c>
    </row>
    <row r="5" spans="2:8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  <c r="G5" s="2" t="s">
        <v>18</v>
      </c>
      <c r="H5" s="5" t="s">
        <v>2</v>
      </c>
    </row>
    <row r="6" spans="2:8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  <c r="G6" s="2" t="s">
        <v>19</v>
      </c>
      <c r="H6" s="5">
        <f>VLOOKUP(H4,B5:E16,MATCH(H5,B4:E4,0))</f>
        <v>272</v>
      </c>
    </row>
    <row r="7" spans="2:8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8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8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8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8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8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8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8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8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8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H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AC26-3A6D-4182-8291-47238968E6C8}">
  <sheetPr codeName="Sheet5"/>
  <dimension ref="B2:H16"/>
  <sheetViews>
    <sheetView showGridLines="0" workbookViewId="0">
      <selection activeCell="H5" sqref="H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4.140625" style="1" customWidth="1"/>
    <col min="7" max="7" width="15.7109375" style="1" customWidth="1"/>
    <col min="8" max="8" width="20" style="1" bestFit="1" customWidth="1"/>
    <col min="9" max="16384" width="8.85546875" style="1"/>
  </cols>
  <sheetData>
    <row r="2" spans="2:8" ht="19.899999999999999" customHeight="1" thickBot="1" x14ac:dyDescent="0.3">
      <c r="B2" s="19" t="s">
        <v>24</v>
      </c>
      <c r="C2" s="19"/>
      <c r="D2" s="19"/>
      <c r="E2" s="19"/>
      <c r="F2" s="19"/>
      <c r="G2" s="19"/>
      <c r="H2" s="19"/>
    </row>
    <row r="3" spans="2:8" ht="19.899999999999999" customHeight="1" thickTop="1" x14ac:dyDescent="0.25"/>
    <row r="4" spans="2:8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  <c r="G4" s="2" t="s">
        <v>0</v>
      </c>
      <c r="H4" s="2" t="s">
        <v>23</v>
      </c>
    </row>
    <row r="5" spans="2:8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  <c r="G5" s="3" t="s">
        <v>9</v>
      </c>
      <c r="H5" s="3">
        <f>SUM(SUMIFS(C5:C16,B5:B16,G5), SUMIFS(D5:D16,B5:B16,G5), SUMIFS(E5:E16,B5:B16,G5))</f>
        <v>544</v>
      </c>
    </row>
    <row r="6" spans="2:8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8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8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8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8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8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8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8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8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8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8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H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9B250-9AA6-4649-A515-130B5520C9EB}">
  <sheetPr codeName="Sheet6"/>
  <dimension ref="B2:H16"/>
  <sheetViews>
    <sheetView showGridLines="0" workbookViewId="0">
      <selection activeCell="H6" sqref="H6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3.5703125" style="1" customWidth="1"/>
    <col min="7" max="7" width="25.7109375" style="1" bestFit="1" customWidth="1"/>
    <col min="8" max="8" width="13.28515625" style="1" customWidth="1"/>
    <col min="9" max="16384" width="8.85546875" style="1"/>
  </cols>
  <sheetData>
    <row r="2" spans="2:8" ht="19.899999999999999" customHeight="1" thickBot="1" x14ac:dyDescent="0.3">
      <c r="B2" s="19" t="s">
        <v>26</v>
      </c>
      <c r="C2" s="19"/>
      <c r="D2" s="19"/>
      <c r="E2" s="19"/>
      <c r="F2" s="19"/>
      <c r="G2" s="19"/>
      <c r="H2" s="19"/>
    </row>
    <row r="3" spans="2:8" ht="19.899999999999999" customHeight="1" thickTop="1" x14ac:dyDescent="0.25"/>
    <row r="4" spans="2:8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  <c r="G4" s="20" t="s">
        <v>2</v>
      </c>
      <c r="H4" s="21"/>
    </row>
    <row r="5" spans="2:8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  <c r="G5" s="2" t="s">
        <v>25</v>
      </c>
      <c r="H5" s="2" t="s">
        <v>0</v>
      </c>
    </row>
    <row r="6" spans="2:8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  <c r="G6" s="5">
        <f>MAX(D5:D16)</f>
        <v>379</v>
      </c>
      <c r="H6" s="3" t="str">
        <f>INDEX(B5:E16,MATCH(G6,D5:D16,0),1)</f>
        <v>November</v>
      </c>
    </row>
    <row r="7" spans="2:8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8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8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8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8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8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8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8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8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8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2">
    <mergeCell ref="G4:H4"/>
    <mergeCell ref="B2:H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B391-6EAB-4A32-87DC-D381E0EF38C3}">
  <sheetPr codeName="Sheet7"/>
  <dimension ref="B2:E16"/>
  <sheetViews>
    <sheetView showGridLines="0" workbookViewId="0">
      <selection activeCell="C5" sqref="C5"/>
    </sheetView>
  </sheetViews>
  <sheetFormatPr defaultColWidth="8.85546875" defaultRowHeight="19.899999999999999" customHeight="1" x14ac:dyDescent="0.25"/>
  <cols>
    <col min="1" max="1" width="4.140625" style="1" customWidth="1"/>
    <col min="2" max="2" width="11.42578125" style="1" customWidth="1"/>
    <col min="3" max="5" width="17.28515625" style="1" customWidth="1"/>
    <col min="6" max="16384" width="8.85546875" style="1"/>
  </cols>
  <sheetData>
    <row r="2" spans="2:5" ht="19.899999999999999" customHeight="1" thickBot="1" x14ac:dyDescent="0.3">
      <c r="B2" s="19" t="s">
        <v>27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E2"/>
  </mergeCells>
  <conditionalFormatting sqref="C5:C1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{74D32ABC-7785-4EB8-BF7D-AE6E2F10F0CF}</x14:id>
        </ext>
      </extLst>
    </cfRule>
  </conditionalFormatting>
  <conditionalFormatting sqref="D5:D16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{EEAECA35-2E2B-4C64-A315-B1FF6B1D8345}</x14:id>
        </ext>
      </extLst>
    </cfRule>
  </conditionalFormatting>
  <conditionalFormatting sqref="E5:E1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{6CB94E24-3B73-43A2-B959-0724752D685B}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32ABC-7785-4EB8-BF7D-AE6E2F10F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C5:C16</xm:sqref>
        </x14:conditionalFormatting>
        <x14:conditionalFormatting xmlns:xm="http://schemas.microsoft.com/office/excel/2006/main">
          <x14:cfRule type="dataBar" id="{EEAECA35-2E2B-4C64-A315-B1FF6B1D834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D5:D16</xm:sqref>
        </x14:conditionalFormatting>
        <x14:conditionalFormatting xmlns:xm="http://schemas.microsoft.com/office/excel/2006/main">
          <x14:cfRule type="dataBar" id="{6CB94E24-3B73-43A2-B959-0724752D68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E5:E16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683D5-980E-4EC6-851B-55EB493901B7}">
  <sheetPr codeName="Sheet8"/>
  <dimension ref="B2:J21"/>
  <sheetViews>
    <sheetView showGridLines="0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4.140625" style="1" customWidth="1"/>
    <col min="7" max="7" width="12.5703125" style="1" bestFit="1" customWidth="1"/>
    <col min="8" max="9" width="13.42578125" style="1" bestFit="1" customWidth="1"/>
    <col min="10" max="10" width="15.85546875" style="1" bestFit="1" customWidth="1"/>
    <col min="11" max="16384" width="8.85546875" style="1"/>
  </cols>
  <sheetData>
    <row r="2" spans="2:10" ht="19.899999999999999" customHeight="1" thickBot="1" x14ac:dyDescent="0.3">
      <c r="B2" s="19" t="s">
        <v>33</v>
      </c>
      <c r="C2" s="19"/>
      <c r="D2" s="19"/>
      <c r="E2" s="19"/>
    </row>
    <row r="3" spans="2:10" ht="19.899999999999999" customHeight="1" thickTop="1" x14ac:dyDescent="0.25"/>
    <row r="4" spans="2:10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  <c r="G4" s="6" t="s">
        <v>28</v>
      </c>
      <c r="H4" t="s">
        <v>31</v>
      </c>
      <c r="I4" t="s">
        <v>30</v>
      </c>
      <c r="J4" t="s">
        <v>32</v>
      </c>
    </row>
    <row r="5" spans="2:10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  <c r="G5" s="7" t="s">
        <v>4</v>
      </c>
      <c r="H5">
        <v>65</v>
      </c>
      <c r="I5">
        <v>320</v>
      </c>
      <c r="J5">
        <v>125</v>
      </c>
    </row>
    <row r="6" spans="2:10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  <c r="G6" s="7" t="s">
        <v>5</v>
      </c>
      <c r="H6">
        <v>106</v>
      </c>
      <c r="I6">
        <v>342</v>
      </c>
      <c r="J6">
        <v>120</v>
      </c>
    </row>
    <row r="7" spans="2:10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  <c r="G7" s="7" t="s">
        <v>6</v>
      </c>
      <c r="H7">
        <v>80</v>
      </c>
      <c r="I7">
        <v>290</v>
      </c>
      <c r="J7">
        <v>85</v>
      </c>
    </row>
    <row r="8" spans="2:10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  <c r="G8" s="7" t="s">
        <v>7</v>
      </c>
      <c r="H8">
        <v>73</v>
      </c>
      <c r="I8">
        <v>239</v>
      </c>
      <c r="J8">
        <v>150</v>
      </c>
    </row>
    <row r="9" spans="2:10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  <c r="G9" s="7" t="s">
        <v>8</v>
      </c>
      <c r="H9">
        <v>87</v>
      </c>
      <c r="I9">
        <v>257</v>
      </c>
      <c r="J9">
        <v>158</v>
      </c>
    </row>
    <row r="10" spans="2:10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  <c r="G10" s="7" t="s">
        <v>9</v>
      </c>
      <c r="H10">
        <v>125</v>
      </c>
      <c r="I10">
        <v>272</v>
      </c>
      <c r="J10">
        <v>147</v>
      </c>
    </row>
    <row r="11" spans="2:10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  <c r="G11" s="7" t="s">
        <v>10</v>
      </c>
      <c r="H11">
        <v>57</v>
      </c>
      <c r="I11">
        <v>365</v>
      </c>
      <c r="J11">
        <v>180</v>
      </c>
    </row>
    <row r="12" spans="2:10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  <c r="G12" s="7" t="s">
        <v>11</v>
      </c>
      <c r="H12">
        <v>60</v>
      </c>
      <c r="I12">
        <v>368</v>
      </c>
      <c r="J12">
        <v>161</v>
      </c>
    </row>
    <row r="13" spans="2:10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  <c r="G13" s="7" t="s">
        <v>12</v>
      </c>
      <c r="H13">
        <v>63</v>
      </c>
      <c r="I13">
        <v>270</v>
      </c>
      <c r="J13">
        <v>132</v>
      </c>
    </row>
    <row r="14" spans="2:10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  <c r="G14" s="7" t="s">
        <v>13</v>
      </c>
      <c r="H14">
        <v>82</v>
      </c>
      <c r="I14">
        <v>325</v>
      </c>
      <c r="J14">
        <v>123</v>
      </c>
    </row>
    <row r="15" spans="2:10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  <c r="G15" s="7" t="s">
        <v>14</v>
      </c>
      <c r="H15">
        <v>79</v>
      </c>
      <c r="I15">
        <v>379</v>
      </c>
      <c r="J15">
        <v>94</v>
      </c>
    </row>
    <row r="16" spans="2:10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  <c r="G16" s="7" t="s">
        <v>15</v>
      </c>
      <c r="H16">
        <v>81</v>
      </c>
      <c r="I16">
        <v>230</v>
      </c>
      <c r="J16">
        <v>89</v>
      </c>
    </row>
    <row r="17" spans="7:10" ht="19.899999999999999" customHeight="1" x14ac:dyDescent="0.25">
      <c r="G17" s="7" t="s">
        <v>29</v>
      </c>
      <c r="H17">
        <v>958</v>
      </c>
      <c r="I17">
        <v>3657</v>
      </c>
      <c r="J17">
        <v>1564</v>
      </c>
    </row>
    <row r="18" spans="7:10" ht="19.899999999999999" customHeight="1" x14ac:dyDescent="0.25">
      <c r="G18"/>
      <c r="H18"/>
      <c r="I18"/>
    </row>
    <row r="19" spans="7:10" ht="19.899999999999999" customHeight="1" x14ac:dyDescent="0.25">
      <c r="G19"/>
      <c r="H19"/>
      <c r="I19"/>
    </row>
    <row r="20" spans="7:10" ht="19.899999999999999" customHeight="1" x14ac:dyDescent="0.25">
      <c r="G20"/>
      <c r="H20"/>
      <c r="I20"/>
    </row>
    <row r="21" spans="7:10" ht="19.899999999999999" customHeight="1" x14ac:dyDescent="0.25">
      <c r="G21"/>
      <c r="H21"/>
      <c r="I21"/>
    </row>
  </sheetData>
  <mergeCells count="1">
    <mergeCell ref="B2:E2"/>
  </mergeCell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C60A4-0B85-4624-9019-69D0B3C2C485}">
  <sheetPr codeName="Sheet9"/>
  <dimension ref="B2:E16"/>
  <sheetViews>
    <sheetView showGridLines="0" workbookViewId="0">
      <selection activeCell="C5" sqref="C5:C16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16384" width="8.85546875" style="1"/>
  </cols>
  <sheetData>
    <row r="2" spans="2:5" ht="19.899999999999999" customHeight="1" thickBot="1" x14ac:dyDescent="0.3">
      <c r="B2" s="19" t="s">
        <v>34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9</v>
      </c>
      <c r="C5" s="3">
        <v>125</v>
      </c>
      <c r="D5" s="3">
        <v>272</v>
      </c>
      <c r="E5" s="3">
        <v>147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8</v>
      </c>
      <c r="C7" s="3">
        <v>87</v>
      </c>
      <c r="D7" s="3">
        <v>257</v>
      </c>
      <c r="E7" s="3">
        <v>158</v>
      </c>
    </row>
    <row r="8" spans="2:5" ht="19.899999999999999" customHeight="1" x14ac:dyDescent="0.25">
      <c r="B8" s="3" t="s">
        <v>13</v>
      </c>
      <c r="C8" s="3">
        <v>82</v>
      </c>
      <c r="D8" s="3">
        <v>325</v>
      </c>
      <c r="E8" s="3">
        <v>123</v>
      </c>
    </row>
    <row r="9" spans="2:5" ht="19.899999999999999" customHeight="1" x14ac:dyDescent="0.25">
      <c r="B9" s="3" t="s">
        <v>15</v>
      </c>
      <c r="C9" s="3">
        <v>81</v>
      </c>
      <c r="D9" s="3">
        <v>230</v>
      </c>
      <c r="E9" s="3">
        <v>89</v>
      </c>
    </row>
    <row r="10" spans="2:5" ht="19.899999999999999" customHeight="1" x14ac:dyDescent="0.25">
      <c r="B10" s="3" t="s">
        <v>6</v>
      </c>
      <c r="C10" s="3">
        <v>80</v>
      </c>
      <c r="D10" s="3">
        <v>290</v>
      </c>
      <c r="E10" s="3">
        <v>85</v>
      </c>
    </row>
    <row r="11" spans="2:5" ht="19.899999999999999" customHeight="1" x14ac:dyDescent="0.25">
      <c r="B11" s="3" t="s">
        <v>14</v>
      </c>
      <c r="C11" s="3">
        <v>79</v>
      </c>
      <c r="D11" s="3">
        <v>379</v>
      </c>
      <c r="E11" s="3">
        <v>94</v>
      </c>
    </row>
    <row r="12" spans="2:5" ht="19.899999999999999" customHeight="1" x14ac:dyDescent="0.25">
      <c r="B12" s="3" t="s">
        <v>7</v>
      </c>
      <c r="C12" s="3">
        <v>73</v>
      </c>
      <c r="D12" s="3">
        <v>239</v>
      </c>
      <c r="E12" s="3">
        <v>150</v>
      </c>
    </row>
    <row r="13" spans="2:5" ht="19.899999999999999" customHeight="1" x14ac:dyDescent="0.25">
      <c r="B13" s="3" t="s">
        <v>4</v>
      </c>
      <c r="C13" s="3">
        <v>65</v>
      </c>
      <c r="D13" s="3">
        <v>320</v>
      </c>
      <c r="E13" s="3">
        <v>125</v>
      </c>
    </row>
    <row r="14" spans="2:5" ht="19.899999999999999" customHeight="1" x14ac:dyDescent="0.25">
      <c r="B14" s="3" t="s">
        <v>12</v>
      </c>
      <c r="C14" s="3">
        <v>63</v>
      </c>
      <c r="D14" s="3">
        <v>270</v>
      </c>
      <c r="E14" s="3">
        <v>132</v>
      </c>
    </row>
    <row r="15" spans="2:5" ht="19.899999999999999" customHeight="1" x14ac:dyDescent="0.25">
      <c r="B15" s="3" t="s">
        <v>11</v>
      </c>
      <c r="C15" s="3">
        <v>60</v>
      </c>
      <c r="D15" s="3">
        <v>368</v>
      </c>
      <c r="E15" s="3">
        <v>161</v>
      </c>
    </row>
    <row r="16" spans="2:5" ht="19.899999999999999" customHeight="1" x14ac:dyDescent="0.25">
      <c r="B16" s="3" t="s">
        <v>10</v>
      </c>
      <c r="C16" s="3">
        <v>57</v>
      </c>
      <c r="D16" s="3">
        <v>365</v>
      </c>
      <c r="E16" s="3">
        <v>180</v>
      </c>
    </row>
  </sheetData>
  <sortState xmlns:xlrd2="http://schemas.microsoft.com/office/spreadsheetml/2017/richdata2" ref="B5:E16">
    <sortCondition descending="1" ref="C5:C16"/>
  </sortState>
  <mergeCells count="1">
    <mergeCell ref="B2:E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81FB-18F7-4027-BF91-1255A675AFB6}">
  <sheetPr codeName="Sheet10" filterMode="1"/>
  <dimension ref="B2:E16"/>
  <sheetViews>
    <sheetView showGridLines="0" workbookViewId="0">
      <selection activeCell="B11" sqref="B11"/>
    </sheetView>
  </sheetViews>
  <sheetFormatPr defaultColWidth="8.85546875" defaultRowHeight="19.899999999999999" customHeight="1" x14ac:dyDescent="0.25"/>
  <cols>
    <col min="1" max="1" width="4.140625" style="1" customWidth="1"/>
    <col min="2" max="2" width="14" style="1" customWidth="1"/>
    <col min="3" max="3" width="15.28515625" style="1" customWidth="1"/>
    <col min="4" max="4" width="13.5703125" style="1" customWidth="1"/>
    <col min="5" max="5" width="17.28515625" style="1" customWidth="1"/>
    <col min="6" max="16384" width="8.85546875" style="1"/>
  </cols>
  <sheetData>
    <row r="2" spans="2:5" ht="19.899999999999999" customHeight="1" thickBot="1" x14ac:dyDescent="0.3">
      <c r="B2" s="19" t="s">
        <v>35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hidden="1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hidden="1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hidden="1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hidden="1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hidden="1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hidden="1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hidden="1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hidden="1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hidden="1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hidden="1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hidden="1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autoFilter ref="B4:E16" xr:uid="{AA2381FB-18F7-4027-BF91-1255A675AFB6}">
    <filterColumn colId="0">
      <filters>
        <filter val="July"/>
      </filters>
    </filterColumn>
  </autoFilter>
  <mergeCells count="1">
    <mergeCell ref="B2:E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5F99C-F924-4A24-BB5E-6C9899666192}">
  <sheetPr codeName="Sheet11"/>
  <dimension ref="B2:H16"/>
  <sheetViews>
    <sheetView showGridLines="0" workbookViewId="0">
      <selection activeCell="H6" sqref="H6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3.85546875" style="1" customWidth="1"/>
    <col min="7" max="7" width="15.85546875" style="1" bestFit="1" customWidth="1"/>
    <col min="8" max="8" width="16.28515625" style="1" customWidth="1"/>
    <col min="9" max="16384" width="8.85546875" style="1"/>
  </cols>
  <sheetData>
    <row r="2" spans="2:8" ht="19.899999999999999" customHeight="1" thickBot="1" x14ac:dyDescent="0.3">
      <c r="B2" s="19" t="s">
        <v>39</v>
      </c>
      <c r="C2" s="19"/>
      <c r="D2" s="19"/>
      <c r="E2" s="19"/>
      <c r="F2" s="19"/>
      <c r="G2" s="19"/>
      <c r="H2" s="19"/>
    </row>
    <row r="3" spans="2:8" ht="19.899999999999999" customHeight="1" thickTop="1" x14ac:dyDescent="0.25"/>
    <row r="4" spans="2:8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  <c r="G4" s="22" t="s">
        <v>3</v>
      </c>
      <c r="H4" s="22"/>
    </row>
    <row r="5" spans="2:8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  <c r="G5" s="8" t="s">
        <v>36</v>
      </c>
      <c r="H5" s="3">
        <f>SUM(E5:E16)</f>
        <v>1564</v>
      </c>
    </row>
    <row r="6" spans="2:8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  <c r="G6" s="2" t="s">
        <v>37</v>
      </c>
      <c r="H6" s="9">
        <v>1000</v>
      </c>
    </row>
    <row r="7" spans="2:8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  <c r="G7" s="2" t="s">
        <v>38</v>
      </c>
      <c r="H7" s="9">
        <f>H5*H6</f>
        <v>1564000</v>
      </c>
    </row>
    <row r="8" spans="2:8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8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8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8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8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8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8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8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8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2">
    <mergeCell ref="G4:H4"/>
    <mergeCell ref="B2:H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73802-4D30-4226-A9A4-C241615E76C2}">
  <sheetPr codeName="Sheet12"/>
  <dimension ref="B2:H16"/>
  <sheetViews>
    <sheetView showGridLines="0" workbookViewId="0">
      <selection activeCell="G5" sqref="G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3.7109375" style="1" customWidth="1"/>
    <col min="7" max="7" width="14.140625" style="1" customWidth="1"/>
    <col min="8" max="8" width="13" style="1" customWidth="1"/>
    <col min="9" max="16384" width="8.85546875" style="1"/>
  </cols>
  <sheetData>
    <row r="2" spans="2:8" ht="19.899999999999999" customHeight="1" thickBot="1" x14ac:dyDescent="0.3">
      <c r="B2" s="19" t="s">
        <v>40</v>
      </c>
      <c r="C2" s="19"/>
      <c r="D2" s="19"/>
      <c r="E2" s="19"/>
      <c r="F2" s="19"/>
      <c r="G2" s="19"/>
      <c r="H2" s="19"/>
    </row>
    <row r="3" spans="2:8" ht="19.899999999999999" customHeight="1" thickTop="1" x14ac:dyDescent="0.25"/>
    <row r="4" spans="2:8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  <c r="G4" s="2" t="s">
        <v>0</v>
      </c>
      <c r="H4" s="2" t="s">
        <v>2</v>
      </c>
    </row>
    <row r="5" spans="2:8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  <c r="G5" s="5" t="s">
        <v>9</v>
      </c>
      <c r="H5" s="5">
        <f>INDEX(B5:E16,MATCH(G5,B5:B16,0),3)</f>
        <v>272</v>
      </c>
    </row>
    <row r="6" spans="2:8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8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8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8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8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8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8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8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8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8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8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H2"/>
  </mergeCells>
  <dataValidations count="1">
    <dataValidation type="list" allowBlank="1" showInputMessage="1" showErrorMessage="1" sqref="G5" xr:uid="{B86B37AB-2749-4274-8788-0345905B07C2}">
      <formula1>$B$5:$B$16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1176-5112-4988-8912-C8F782214C16}">
  <sheetPr codeName="Sheet13"/>
  <dimension ref="B2:C17"/>
  <sheetViews>
    <sheetView showGridLines="0" workbookViewId="0">
      <selection activeCell="C17" sqref="C17"/>
    </sheetView>
  </sheetViews>
  <sheetFormatPr defaultColWidth="8.85546875" defaultRowHeight="19.899999999999999" customHeight="1" x14ac:dyDescent="0.25"/>
  <cols>
    <col min="1" max="1" width="4.140625" style="1" customWidth="1"/>
    <col min="2" max="2" width="13.7109375" style="1" customWidth="1"/>
    <col min="3" max="3" width="18.28515625" style="1" customWidth="1"/>
    <col min="4" max="16384" width="8.85546875" style="1"/>
  </cols>
  <sheetData>
    <row r="2" spans="2:3" ht="19.899999999999999" customHeight="1" thickBot="1" x14ac:dyDescent="0.3">
      <c r="B2" s="19" t="s">
        <v>41</v>
      </c>
      <c r="C2" s="19"/>
    </row>
    <row r="3" spans="2:3" ht="19.899999999999999" customHeight="1" thickTop="1" x14ac:dyDescent="0.25"/>
    <row r="4" spans="2:3" ht="19.899999999999999" customHeight="1" x14ac:dyDescent="0.25">
      <c r="B4" s="12" t="s">
        <v>0</v>
      </c>
      <c r="C4" s="13" t="s">
        <v>3</v>
      </c>
    </row>
    <row r="5" spans="2:3" ht="19.899999999999999" customHeight="1" x14ac:dyDescent="0.25">
      <c r="B5" s="10" t="s">
        <v>4</v>
      </c>
      <c r="C5" s="11">
        <v>125</v>
      </c>
    </row>
    <row r="6" spans="2:3" ht="19.899999999999999" customHeight="1" x14ac:dyDescent="0.25">
      <c r="B6" s="10" t="s">
        <v>5</v>
      </c>
      <c r="C6" s="11">
        <v>120</v>
      </c>
    </row>
    <row r="7" spans="2:3" ht="19.899999999999999" customHeight="1" x14ac:dyDescent="0.25">
      <c r="B7" s="10" t="s">
        <v>6</v>
      </c>
      <c r="C7" s="11">
        <v>85</v>
      </c>
    </row>
    <row r="8" spans="2:3" ht="19.899999999999999" customHeight="1" x14ac:dyDescent="0.25">
      <c r="B8" s="10" t="s">
        <v>7</v>
      </c>
      <c r="C8" s="11">
        <v>150</v>
      </c>
    </row>
    <row r="9" spans="2:3" ht="19.899999999999999" customHeight="1" x14ac:dyDescent="0.25">
      <c r="B9" s="10" t="s">
        <v>8</v>
      </c>
      <c r="C9" s="11">
        <v>158</v>
      </c>
    </row>
    <row r="10" spans="2:3" ht="19.899999999999999" customHeight="1" x14ac:dyDescent="0.25">
      <c r="B10" s="10" t="s">
        <v>9</v>
      </c>
      <c r="C10" s="11">
        <v>147</v>
      </c>
    </row>
    <row r="11" spans="2:3" ht="19.899999999999999" customHeight="1" x14ac:dyDescent="0.25">
      <c r="B11" s="10" t="s">
        <v>10</v>
      </c>
      <c r="C11" s="11">
        <v>180</v>
      </c>
    </row>
    <row r="12" spans="2:3" ht="19.899999999999999" customHeight="1" x14ac:dyDescent="0.25">
      <c r="B12" s="10" t="s">
        <v>11</v>
      </c>
      <c r="C12" s="11">
        <v>161</v>
      </c>
    </row>
    <row r="13" spans="2:3" ht="19.899999999999999" customHeight="1" x14ac:dyDescent="0.25">
      <c r="B13" s="10" t="s">
        <v>12</v>
      </c>
      <c r="C13" s="11">
        <v>132</v>
      </c>
    </row>
    <row r="14" spans="2:3" ht="19.899999999999999" customHeight="1" x14ac:dyDescent="0.25">
      <c r="B14" s="10" t="s">
        <v>13</v>
      </c>
      <c r="C14" s="11">
        <v>123</v>
      </c>
    </row>
    <row r="15" spans="2:3" ht="19.899999999999999" customHeight="1" x14ac:dyDescent="0.25">
      <c r="B15" s="10" t="s">
        <v>14</v>
      </c>
      <c r="C15" s="11">
        <v>94</v>
      </c>
    </row>
    <row r="16" spans="2:3" ht="19.899999999999999" customHeight="1" x14ac:dyDescent="0.25">
      <c r="B16" s="14" t="s">
        <v>15</v>
      </c>
      <c r="C16" s="15">
        <v>89</v>
      </c>
    </row>
    <row r="17" spans="2:3" ht="19.899999999999999" customHeight="1" x14ac:dyDescent="0.25">
      <c r="B17" s="14" t="s">
        <v>17</v>
      </c>
      <c r="C17" s="15">
        <f>SUBTOTAL(109,Table1[Television])</f>
        <v>1564</v>
      </c>
    </row>
  </sheetData>
  <mergeCells count="1">
    <mergeCell ref="B2:C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893B-EF71-490F-BDE5-F7B347C8DDD5}">
  <sheetPr codeName="Sheet14"/>
  <dimension ref="B2:E16"/>
  <sheetViews>
    <sheetView showGridLines="0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16384" width="8.85546875" style="1"/>
  </cols>
  <sheetData>
    <row r="2" spans="2:5" ht="19.899999999999999" customHeight="1" thickBot="1" x14ac:dyDescent="0.3">
      <c r="B2" s="19" t="s">
        <v>42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E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E8BAA-0B98-4C02-94CF-AA552A3DC382}">
  <sheetPr codeName="Sheet15"/>
  <dimension ref="B2:H19"/>
  <sheetViews>
    <sheetView showGridLines="0" workbookViewId="0">
      <selection activeCell="H7" sqref="H7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4" style="1" customWidth="1"/>
    <col min="7" max="7" width="15.85546875" style="1" customWidth="1"/>
    <col min="8" max="8" width="20.28515625" style="1" customWidth="1"/>
    <col min="9" max="9" width="8.85546875" style="1" customWidth="1"/>
    <col min="10" max="16384" width="8.85546875" style="1"/>
  </cols>
  <sheetData>
    <row r="2" spans="2:8" ht="19.899999999999999" customHeight="1" thickBot="1" x14ac:dyDescent="0.3">
      <c r="B2" s="19" t="s">
        <v>57</v>
      </c>
      <c r="C2" s="19"/>
      <c r="D2" s="19"/>
      <c r="E2" s="19"/>
      <c r="F2" s="19"/>
      <c r="G2" s="19"/>
      <c r="H2" s="19"/>
    </row>
    <row r="3" spans="2:8" ht="19.899999999999999" customHeight="1" thickTop="1" x14ac:dyDescent="0.25"/>
    <row r="4" spans="2:8" ht="19.899999999999999" customHeight="1" thickBot="1" x14ac:dyDescent="0.3">
      <c r="B4" s="2" t="s">
        <v>0</v>
      </c>
      <c r="C4" s="2" t="s">
        <v>1</v>
      </c>
      <c r="D4" s="2" t="s">
        <v>2</v>
      </c>
      <c r="E4" s="2" t="s">
        <v>3</v>
      </c>
      <c r="G4" s="22" t="s">
        <v>56</v>
      </c>
      <c r="H4" s="22"/>
    </row>
    <row r="5" spans="2:8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  <c r="G5" s="18" t="s">
        <v>2</v>
      </c>
      <c r="H5" s="18"/>
    </row>
    <row r="6" spans="2:8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  <c r="G6"/>
      <c r="H6"/>
    </row>
    <row r="7" spans="2:8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  <c r="G7" t="s">
        <v>43</v>
      </c>
      <c r="H7">
        <v>304.75</v>
      </c>
    </row>
    <row r="8" spans="2:8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  <c r="G8" t="s">
        <v>44</v>
      </c>
      <c r="H8">
        <v>15.040916417115902</v>
      </c>
    </row>
    <row r="9" spans="2:8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  <c r="G9" t="s">
        <v>45</v>
      </c>
      <c r="H9">
        <v>305</v>
      </c>
    </row>
    <row r="10" spans="2:8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  <c r="G10" t="s">
        <v>46</v>
      </c>
      <c r="H10" t="e">
        <v>#N/A</v>
      </c>
    </row>
    <row r="11" spans="2:8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  <c r="G11" t="s">
        <v>47</v>
      </c>
      <c r="H11">
        <v>52.103262853683162</v>
      </c>
    </row>
    <row r="12" spans="2:8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  <c r="G12" t="s">
        <v>48</v>
      </c>
      <c r="H12">
        <v>2714.75</v>
      </c>
    </row>
    <row r="13" spans="2:8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  <c r="G13" t="s">
        <v>49</v>
      </c>
      <c r="H13">
        <v>-1.478558523077238</v>
      </c>
    </row>
    <row r="14" spans="2:8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  <c r="G14" t="s">
        <v>50</v>
      </c>
      <c r="H14">
        <v>4.1297124978345062E-2</v>
      </c>
    </row>
    <row r="15" spans="2:8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  <c r="G15" t="s">
        <v>51</v>
      </c>
      <c r="H15">
        <v>149</v>
      </c>
    </row>
    <row r="16" spans="2:8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  <c r="G16" t="s">
        <v>52</v>
      </c>
      <c r="H16">
        <v>230</v>
      </c>
    </row>
    <row r="17" spans="7:8" ht="19.899999999999999" customHeight="1" x14ac:dyDescent="0.25">
      <c r="G17" t="s">
        <v>53</v>
      </c>
      <c r="H17">
        <v>379</v>
      </c>
    </row>
    <row r="18" spans="7:8" ht="19.899999999999999" customHeight="1" x14ac:dyDescent="0.25">
      <c r="G18" t="s">
        <v>54</v>
      </c>
      <c r="H18">
        <v>3657</v>
      </c>
    </row>
    <row r="19" spans="7:8" ht="19.899999999999999" customHeight="1" thickBot="1" x14ac:dyDescent="0.3">
      <c r="G19" s="16" t="s">
        <v>55</v>
      </c>
      <c r="H19" s="16">
        <v>12</v>
      </c>
    </row>
  </sheetData>
  <mergeCells count="2">
    <mergeCell ref="G4:H4"/>
    <mergeCell ref="B2:H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B6D82-9D8E-41F7-98C8-4FB7EAC62480}">
  <sheetPr codeName="Sheet16"/>
  <dimension ref="B2:M19"/>
  <sheetViews>
    <sheetView showGridLines="0" workbookViewId="0">
      <selection activeCell="K9" sqref="K9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5.28515625" style="1" customWidth="1"/>
    <col min="7" max="16384" width="8.85546875" style="1"/>
  </cols>
  <sheetData>
    <row r="2" spans="2:13" ht="19.899999999999999" customHeight="1" thickBot="1" x14ac:dyDescent="0.3">
      <c r="B2" s="19" t="s">
        <v>58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</row>
    <row r="3" spans="2:13" ht="19.899999999999999" customHeight="1" thickTop="1" x14ac:dyDescent="0.25"/>
    <row r="4" spans="2:13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  <c r="G4" s="22" t="s">
        <v>74</v>
      </c>
      <c r="H4" s="22"/>
      <c r="I4" s="22"/>
      <c r="J4" s="22"/>
      <c r="K4" s="22"/>
      <c r="L4" s="22"/>
      <c r="M4" s="22"/>
    </row>
    <row r="5" spans="2:13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  <c r="G5" t="s">
        <v>59</v>
      </c>
      <c r="H5"/>
      <c r="I5"/>
      <c r="J5"/>
      <c r="K5"/>
      <c r="L5"/>
      <c r="M5"/>
    </row>
    <row r="6" spans="2:13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  <c r="G6"/>
      <c r="H6"/>
      <c r="I6"/>
      <c r="J6"/>
      <c r="K6"/>
      <c r="L6"/>
      <c r="M6"/>
    </row>
    <row r="7" spans="2:13" ht="19.899999999999999" customHeight="1" thickBot="1" x14ac:dyDescent="0.3">
      <c r="B7" s="3" t="s">
        <v>6</v>
      </c>
      <c r="C7" s="3">
        <v>80</v>
      </c>
      <c r="D7" s="3">
        <v>290</v>
      </c>
      <c r="E7" s="3">
        <v>85</v>
      </c>
      <c r="G7" t="s">
        <v>60</v>
      </c>
      <c r="H7"/>
      <c r="I7"/>
      <c r="J7"/>
      <c r="K7"/>
      <c r="L7"/>
      <c r="M7"/>
    </row>
    <row r="8" spans="2:13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  <c r="G8" s="17" t="s">
        <v>61</v>
      </c>
      <c r="H8" s="17" t="s">
        <v>55</v>
      </c>
      <c r="I8" s="17" t="s">
        <v>54</v>
      </c>
      <c r="J8" s="17" t="s">
        <v>62</v>
      </c>
      <c r="K8" s="17" t="s">
        <v>63</v>
      </c>
      <c r="L8"/>
      <c r="M8"/>
    </row>
    <row r="9" spans="2:13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  <c r="G9" t="s">
        <v>1</v>
      </c>
      <c r="H9">
        <v>12</v>
      </c>
      <c r="I9">
        <v>958</v>
      </c>
      <c r="J9">
        <v>79.833333333333329</v>
      </c>
      <c r="K9">
        <v>386.15151515151558</v>
      </c>
      <c r="L9"/>
      <c r="M9"/>
    </row>
    <row r="10" spans="2:13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  <c r="G10" t="s">
        <v>2</v>
      </c>
      <c r="H10">
        <v>12</v>
      </c>
      <c r="I10">
        <v>3657</v>
      </c>
      <c r="J10">
        <v>304.75</v>
      </c>
      <c r="K10">
        <v>2714.75</v>
      </c>
      <c r="L10"/>
      <c r="M10"/>
    </row>
    <row r="11" spans="2:13" ht="19.899999999999999" customHeight="1" thickBot="1" x14ac:dyDescent="0.3">
      <c r="B11" s="3" t="s">
        <v>10</v>
      </c>
      <c r="C11" s="3">
        <v>57</v>
      </c>
      <c r="D11" s="3">
        <v>365</v>
      </c>
      <c r="E11" s="3">
        <v>180</v>
      </c>
      <c r="G11" s="16" t="s">
        <v>3</v>
      </c>
      <c r="H11" s="16">
        <v>12</v>
      </c>
      <c r="I11" s="16">
        <v>1564</v>
      </c>
      <c r="J11" s="16">
        <v>130.33333333333334</v>
      </c>
      <c r="K11" s="16">
        <v>919.33333333333246</v>
      </c>
      <c r="L11"/>
      <c r="M11"/>
    </row>
    <row r="12" spans="2:13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  <c r="G12"/>
      <c r="H12"/>
      <c r="I12"/>
      <c r="J12"/>
      <c r="K12"/>
      <c r="L12"/>
      <c r="M12"/>
    </row>
    <row r="13" spans="2:13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  <c r="G13"/>
      <c r="H13"/>
      <c r="I13"/>
      <c r="J13"/>
      <c r="K13"/>
      <c r="L13"/>
      <c r="M13"/>
    </row>
    <row r="14" spans="2:13" ht="19.899999999999999" customHeight="1" thickBot="1" x14ac:dyDescent="0.3">
      <c r="B14" s="3" t="s">
        <v>13</v>
      </c>
      <c r="C14" s="3">
        <v>82</v>
      </c>
      <c r="D14" s="3">
        <v>325</v>
      </c>
      <c r="E14" s="3">
        <v>123</v>
      </c>
      <c r="G14" t="s">
        <v>64</v>
      </c>
      <c r="H14"/>
      <c r="I14"/>
      <c r="J14"/>
      <c r="K14"/>
      <c r="L14"/>
      <c r="M14"/>
    </row>
    <row r="15" spans="2:13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  <c r="G15" s="17" t="s">
        <v>65</v>
      </c>
      <c r="H15" s="17" t="s">
        <v>66</v>
      </c>
      <c r="I15" s="17" t="s">
        <v>67</v>
      </c>
      <c r="J15" s="17" t="s">
        <v>68</v>
      </c>
      <c r="K15" s="17" t="s">
        <v>69</v>
      </c>
      <c r="L15" s="17" t="s">
        <v>70</v>
      </c>
      <c r="M15" s="17" t="s">
        <v>71</v>
      </c>
    </row>
    <row r="16" spans="2:13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  <c r="G16" t="s">
        <v>72</v>
      </c>
      <c r="H16">
        <v>334235.72222222225</v>
      </c>
      <c r="I16">
        <v>2</v>
      </c>
      <c r="J16">
        <v>167117.86111111112</v>
      </c>
      <c r="K16">
        <v>124.70753630780655</v>
      </c>
      <c r="L16">
        <v>4.1288597269797483E-16</v>
      </c>
      <c r="M16">
        <v>3.2849176510382869</v>
      </c>
    </row>
    <row r="17" spans="7:13" ht="19.899999999999999" customHeight="1" x14ac:dyDescent="0.25">
      <c r="G17" t="s">
        <v>73</v>
      </c>
      <c r="H17">
        <v>44222.583333333328</v>
      </c>
      <c r="I17">
        <v>33</v>
      </c>
      <c r="J17">
        <v>1340.0782828282827</v>
      </c>
      <c r="K17"/>
      <c r="L17"/>
      <c r="M17"/>
    </row>
    <row r="18" spans="7:13" ht="19.899999999999999" customHeight="1" x14ac:dyDescent="0.25">
      <c r="G18"/>
      <c r="H18"/>
      <c r="I18"/>
      <c r="J18"/>
      <c r="K18"/>
      <c r="L18"/>
      <c r="M18"/>
    </row>
    <row r="19" spans="7:13" ht="19.899999999999999" customHeight="1" thickBot="1" x14ac:dyDescent="0.3">
      <c r="G19" s="16" t="s">
        <v>17</v>
      </c>
      <c r="H19" s="16">
        <v>378458.30555555556</v>
      </c>
      <c r="I19" s="16">
        <v>35</v>
      </c>
      <c r="J19" s="16"/>
      <c r="K19" s="16"/>
      <c r="L19" s="16"/>
      <c r="M19" s="16"/>
    </row>
  </sheetData>
  <mergeCells count="2">
    <mergeCell ref="G4:M4"/>
    <mergeCell ref="B2:M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ED3D4-4257-4EDD-A151-47B11D2CCABE}">
  <sheetPr codeName="Sheet17"/>
  <dimension ref="B2:E16"/>
  <sheetViews>
    <sheetView showGridLines="0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16384" width="8.85546875" style="1"/>
  </cols>
  <sheetData>
    <row r="2" spans="2:5" ht="19.899999999999999" customHeight="1" thickBot="1" x14ac:dyDescent="0.3">
      <c r="B2" s="19" t="s">
        <v>75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E2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A0A6-0BCD-4BEB-ABA6-09E80DAA0942}">
  <sheetPr codeName="Sheet18"/>
  <dimension ref="B2:E16"/>
  <sheetViews>
    <sheetView showGridLines="0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16384" width="8.85546875" style="1"/>
  </cols>
  <sheetData>
    <row r="2" spans="2:5" ht="19.899999999999999" customHeight="1" thickBot="1" x14ac:dyDescent="0.3">
      <c r="B2" s="19" t="s">
        <v>76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E2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DF8FE-831F-4B8F-868A-F70E9F946904}">
  <sheetPr codeName="Sheet19"/>
  <dimension ref="B2:E16"/>
  <sheetViews>
    <sheetView showGridLines="0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16384" width="8.85546875" style="1"/>
  </cols>
  <sheetData>
    <row r="2" spans="2:5" ht="19.899999999999999" customHeight="1" thickBot="1" x14ac:dyDescent="0.3">
      <c r="B2" s="19" t="s">
        <v>77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E2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25F0-D526-4487-A57E-3AD47067E950}">
  <sheetPr codeName="Sheet20"/>
  <dimension ref="B2:J21"/>
  <sheetViews>
    <sheetView showGridLines="0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8.85546875" style="1"/>
    <col min="7" max="7" width="12.5703125" style="1" bestFit="1" customWidth="1"/>
    <col min="8" max="9" width="13.42578125" style="1" bestFit="1" customWidth="1"/>
    <col min="10" max="10" width="15.85546875" style="1" bestFit="1" customWidth="1"/>
    <col min="11" max="16384" width="8.85546875" style="1"/>
  </cols>
  <sheetData>
    <row r="2" spans="2:10" ht="19.899999999999999" customHeight="1" thickBot="1" x14ac:dyDescent="0.3">
      <c r="B2" s="19" t="s">
        <v>78</v>
      </c>
      <c r="C2" s="19"/>
      <c r="D2" s="19"/>
      <c r="E2" s="19"/>
    </row>
    <row r="3" spans="2:10" ht="19.899999999999999" customHeight="1" thickTop="1" x14ac:dyDescent="0.25"/>
    <row r="4" spans="2:10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  <c r="G4"/>
      <c r="H4"/>
      <c r="I4"/>
      <c r="J4"/>
    </row>
    <row r="5" spans="2:10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  <c r="G5"/>
      <c r="H5"/>
      <c r="I5"/>
      <c r="J5"/>
    </row>
    <row r="6" spans="2:10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  <c r="G6"/>
      <c r="H6"/>
      <c r="I6"/>
      <c r="J6"/>
    </row>
    <row r="7" spans="2:10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  <c r="G7"/>
      <c r="H7"/>
      <c r="I7"/>
      <c r="J7"/>
    </row>
    <row r="8" spans="2:10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  <c r="G8"/>
      <c r="H8"/>
      <c r="I8"/>
      <c r="J8"/>
    </row>
    <row r="9" spans="2:10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  <c r="G9"/>
      <c r="H9"/>
      <c r="I9"/>
      <c r="J9"/>
    </row>
    <row r="10" spans="2:10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  <c r="G10"/>
      <c r="H10"/>
      <c r="I10"/>
      <c r="J10"/>
    </row>
    <row r="11" spans="2:10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  <c r="G11"/>
      <c r="H11"/>
      <c r="I11"/>
      <c r="J11"/>
    </row>
    <row r="12" spans="2:10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  <c r="G12"/>
      <c r="H12"/>
      <c r="I12"/>
      <c r="J12"/>
    </row>
    <row r="13" spans="2:10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  <c r="G13"/>
      <c r="H13"/>
      <c r="I13"/>
      <c r="J13"/>
    </row>
    <row r="14" spans="2:10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  <c r="G14"/>
      <c r="H14"/>
      <c r="I14"/>
      <c r="J14"/>
    </row>
    <row r="15" spans="2:10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  <c r="G15"/>
      <c r="H15"/>
      <c r="I15"/>
      <c r="J15"/>
    </row>
    <row r="16" spans="2:10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  <c r="G16"/>
      <c r="H16"/>
      <c r="I16"/>
      <c r="J16"/>
    </row>
    <row r="17" spans="7:10" ht="19.899999999999999" customHeight="1" x14ac:dyDescent="0.25">
      <c r="G17"/>
      <c r="H17"/>
      <c r="I17"/>
      <c r="J17"/>
    </row>
    <row r="18" spans="7:10" ht="19.899999999999999" customHeight="1" x14ac:dyDescent="0.25">
      <c r="G18"/>
      <c r="H18"/>
      <c r="I18"/>
    </row>
    <row r="19" spans="7:10" ht="19.899999999999999" customHeight="1" x14ac:dyDescent="0.25">
      <c r="G19"/>
      <c r="H19"/>
      <c r="I19"/>
    </row>
    <row r="20" spans="7:10" ht="19.899999999999999" customHeight="1" x14ac:dyDescent="0.25">
      <c r="G20"/>
      <c r="H20"/>
      <c r="I20"/>
    </row>
    <row r="21" spans="7:10" ht="19.899999999999999" customHeight="1" x14ac:dyDescent="0.25">
      <c r="G21"/>
      <c r="H21"/>
      <c r="I21"/>
    </row>
  </sheetData>
  <mergeCells count="1">
    <mergeCell ref="B2:E2"/>
  </mergeCell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0E4DE-2175-48C3-ACED-EDBA0F6F796B}">
  <sheetPr codeName="Sheet21"/>
  <dimension ref="B2:E16"/>
  <sheetViews>
    <sheetView showGridLines="0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16384" width="8.85546875" style="1"/>
  </cols>
  <sheetData>
    <row r="2" spans="2:5" ht="19.899999999999999" customHeight="1" thickBot="1" x14ac:dyDescent="0.3">
      <c r="B2" s="19" t="s">
        <v>79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E2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94ECD-3A73-425C-A4CD-CA893D073560}">
  <sheetPr codeName="Sheet22"/>
  <dimension ref="B2:E16"/>
  <sheetViews>
    <sheetView showGridLines="0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16384" width="8.85546875" style="1"/>
  </cols>
  <sheetData>
    <row r="2" spans="2:5" ht="19.899999999999999" customHeight="1" thickBot="1" x14ac:dyDescent="0.3">
      <c r="B2" s="19" t="s">
        <v>80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E2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7B763-0081-4544-9950-D5F2518B78FE}">
  <sheetPr codeName="Sheet23"/>
  <dimension ref="B2:E16"/>
  <sheetViews>
    <sheetView showGridLines="0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4.28515625" style="1" customWidth="1"/>
    <col min="7" max="16384" width="8.85546875" style="1"/>
  </cols>
  <sheetData>
    <row r="2" spans="2:5" ht="19.899999999999999" customHeight="1" thickBot="1" x14ac:dyDescent="0.3">
      <c r="B2" s="19" t="s">
        <v>81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E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297AD-E184-4EB7-955B-A67BE8287B15}">
  <sheetPr codeName="Sheet24"/>
  <dimension ref="B2:E16"/>
  <sheetViews>
    <sheetView showGridLines="0" workbookViewId="0">
      <selection activeCell="B5" sqref="B5"/>
    </sheetView>
  </sheetViews>
  <sheetFormatPr defaultColWidth="8.85546875" defaultRowHeight="19.899999999999999" customHeight="1" x14ac:dyDescent="0.25"/>
  <cols>
    <col min="1" max="1" width="4.140625" style="1" customWidth="1"/>
    <col min="2" max="4" width="11.42578125" style="1" customWidth="1"/>
    <col min="5" max="5" width="12.28515625" style="1" customWidth="1"/>
    <col min="6" max="6" width="4.28515625" style="1" customWidth="1"/>
    <col min="7" max="16384" width="8.85546875" style="1"/>
  </cols>
  <sheetData>
    <row r="2" spans="2:5" ht="19.899999999999999" customHeight="1" thickBot="1" x14ac:dyDescent="0.3">
      <c r="B2" s="19" t="s">
        <v>82</v>
      </c>
      <c r="C2" s="19"/>
      <c r="D2" s="19"/>
      <c r="E2" s="19"/>
    </row>
    <row r="3" spans="2:5" ht="19.899999999999999" customHeight="1" thickTop="1" x14ac:dyDescent="0.25"/>
    <row r="4" spans="2:5" ht="19.899999999999999" customHeight="1" x14ac:dyDescent="0.25">
      <c r="B4" s="2" t="s">
        <v>0</v>
      </c>
      <c r="C4" s="2" t="s">
        <v>1</v>
      </c>
      <c r="D4" s="2" t="s">
        <v>2</v>
      </c>
      <c r="E4" s="2" t="s">
        <v>3</v>
      </c>
    </row>
    <row r="5" spans="2:5" ht="19.899999999999999" customHeight="1" x14ac:dyDescent="0.25">
      <c r="B5" s="3" t="s">
        <v>4</v>
      </c>
      <c r="C5" s="3">
        <v>65</v>
      </c>
      <c r="D5" s="3">
        <v>320</v>
      </c>
      <c r="E5" s="3">
        <v>125</v>
      </c>
    </row>
    <row r="6" spans="2:5" ht="19.899999999999999" customHeight="1" x14ac:dyDescent="0.25">
      <c r="B6" s="3" t="s">
        <v>5</v>
      </c>
      <c r="C6" s="3">
        <v>106</v>
      </c>
      <c r="D6" s="3">
        <v>342</v>
      </c>
      <c r="E6" s="3">
        <v>120</v>
      </c>
    </row>
    <row r="7" spans="2:5" ht="19.899999999999999" customHeight="1" x14ac:dyDescent="0.25">
      <c r="B7" s="3" t="s">
        <v>6</v>
      </c>
      <c r="C7" s="3">
        <v>80</v>
      </c>
      <c r="D7" s="3">
        <v>290</v>
      </c>
      <c r="E7" s="3">
        <v>85</v>
      </c>
    </row>
    <row r="8" spans="2:5" ht="19.899999999999999" customHeight="1" x14ac:dyDescent="0.25">
      <c r="B8" s="3" t="s">
        <v>7</v>
      </c>
      <c r="C8" s="3">
        <v>73</v>
      </c>
      <c r="D8" s="3">
        <v>239</v>
      </c>
      <c r="E8" s="3">
        <v>150</v>
      </c>
    </row>
    <row r="9" spans="2:5" ht="19.899999999999999" customHeight="1" x14ac:dyDescent="0.25">
      <c r="B9" s="3" t="s">
        <v>8</v>
      </c>
      <c r="C9" s="3">
        <v>87</v>
      </c>
      <c r="D9" s="3">
        <v>257</v>
      </c>
      <c r="E9" s="3">
        <v>158</v>
      </c>
    </row>
    <row r="10" spans="2:5" ht="19.899999999999999" customHeight="1" x14ac:dyDescent="0.25">
      <c r="B10" s="3" t="s">
        <v>9</v>
      </c>
      <c r="C10" s="3">
        <v>125</v>
      </c>
      <c r="D10" s="3">
        <v>272</v>
      </c>
      <c r="E10" s="3">
        <v>147</v>
      </c>
    </row>
    <row r="11" spans="2:5" ht="19.899999999999999" customHeight="1" x14ac:dyDescent="0.25">
      <c r="B11" s="3" t="s">
        <v>10</v>
      </c>
      <c r="C11" s="3">
        <v>57</v>
      </c>
      <c r="D11" s="3">
        <v>365</v>
      </c>
      <c r="E11" s="3">
        <v>180</v>
      </c>
    </row>
    <row r="12" spans="2:5" ht="19.899999999999999" customHeight="1" x14ac:dyDescent="0.25">
      <c r="B12" s="3" t="s">
        <v>11</v>
      </c>
      <c r="C12" s="3">
        <v>60</v>
      </c>
      <c r="D12" s="3">
        <v>368</v>
      </c>
      <c r="E12" s="3">
        <v>161</v>
      </c>
    </row>
    <row r="13" spans="2:5" ht="19.899999999999999" customHeight="1" x14ac:dyDescent="0.25">
      <c r="B13" s="3" t="s">
        <v>12</v>
      </c>
      <c r="C13" s="3">
        <v>63</v>
      </c>
      <c r="D13" s="3">
        <v>270</v>
      </c>
      <c r="E13" s="3">
        <v>132</v>
      </c>
    </row>
    <row r="14" spans="2:5" ht="19.899999999999999" customHeight="1" x14ac:dyDescent="0.25">
      <c r="B14" s="3" t="s">
        <v>13</v>
      </c>
      <c r="C14" s="3">
        <v>82</v>
      </c>
      <c r="D14" s="3">
        <v>325</v>
      </c>
      <c r="E14" s="3">
        <v>123</v>
      </c>
    </row>
    <row r="15" spans="2:5" ht="19.899999999999999" customHeight="1" x14ac:dyDescent="0.25">
      <c r="B15" s="3" t="s">
        <v>14</v>
      </c>
      <c r="C15" s="3">
        <v>79</v>
      </c>
      <c r="D15" s="3">
        <v>379</v>
      </c>
      <c r="E15" s="3">
        <v>94</v>
      </c>
    </row>
    <row r="16" spans="2:5" ht="19.899999999999999" customHeight="1" x14ac:dyDescent="0.25">
      <c r="B16" s="3" t="s">
        <v>15</v>
      </c>
      <c r="C16" s="3">
        <v>81</v>
      </c>
      <c r="D16" s="3">
        <v>230</v>
      </c>
      <c r="E16" s="3">
        <v>89</v>
      </c>
    </row>
  </sheetData>
  <mergeCells count="1">
    <mergeCell ref="B2:E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Dataset</vt:lpstr>
      <vt:lpstr>SUM</vt:lpstr>
      <vt:lpstr>INDEX &amp; MATCH</vt:lpstr>
      <vt:lpstr>VLOOKUP &amp; Match</vt:lpstr>
      <vt:lpstr>SUM &amp; SUMIFS</vt:lpstr>
      <vt:lpstr>MAX, INDEX &amp; MATCH</vt:lpstr>
      <vt:lpstr>Conditional Formatting</vt:lpstr>
      <vt:lpstr>Pivot Table</vt:lpstr>
      <vt:lpstr>Sort</vt:lpstr>
      <vt:lpstr>Filter</vt:lpstr>
      <vt:lpstr>What-If</vt:lpstr>
      <vt:lpstr>Data Validation</vt:lpstr>
      <vt:lpstr>Table</vt:lpstr>
      <vt:lpstr>Analyze Data</vt:lpstr>
      <vt:lpstr>Descriptive Statistics</vt:lpstr>
      <vt:lpstr>Anova</vt:lpstr>
      <vt:lpstr>Column Chart</vt:lpstr>
      <vt:lpstr>Bar Chart</vt:lpstr>
      <vt:lpstr>Line Chart</vt:lpstr>
      <vt:lpstr>Pie Chart</vt:lpstr>
      <vt:lpstr>Doughnut Chart </vt:lpstr>
      <vt:lpstr>Waterfall Chart</vt:lpstr>
      <vt:lpstr>Animated Chart</vt:lpstr>
      <vt:lpstr>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Rajib</dc:creator>
  <cp:lastModifiedBy>PC 04</cp:lastModifiedBy>
  <dcterms:created xsi:type="dcterms:W3CDTF">2023-07-19T11:18:56Z</dcterms:created>
  <dcterms:modified xsi:type="dcterms:W3CDTF">2023-07-25T03:29:45Z</dcterms:modified>
</cp:coreProperties>
</file>